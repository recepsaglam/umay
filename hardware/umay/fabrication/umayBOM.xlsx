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cep\OneDrive\Masaüstü\dasProjekt\Git\umay\hardware\umay\Project Outputs for umay\"/>
    </mc:Choice>
  </mc:AlternateContent>
  <xr:revisionPtr revIDLastSave="0" documentId="13_ncr:1_{C4204F3A-C038-437A-A19F-F8D4C1260B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I59" i="1"/>
</calcChain>
</file>

<file path=xl/sharedStrings.xml><?xml version="1.0" encoding="utf-8"?>
<sst xmlns="http://schemas.openxmlformats.org/spreadsheetml/2006/main" count="206" uniqueCount="162">
  <si>
    <t>Bill of Materials</t>
  </si>
  <si>
    <t>Project File Name:</t>
  </si>
  <si>
    <t>Source Data From:</t>
  </si>
  <si>
    <t>Report Date:</t>
  </si>
  <si>
    <t>Author:</t>
  </si>
  <si>
    <t>Link</t>
  </si>
  <si>
    <t>umay.PrjPcb</t>
  </si>
  <si>
    <t>4.03.2026</t>
  </si>
  <si>
    <t/>
  </si>
  <si>
    <t>Designator</t>
  </si>
  <si>
    <t>C1, C17</t>
  </si>
  <si>
    <t>C2, C3, C4, C5, C6, C8, C13, C14, C16, C18, C19, C20, C25, C28, C33, C34, C35</t>
  </si>
  <si>
    <t>C7, C39, C40, C41, C42</t>
  </si>
  <si>
    <t>C9, C10</t>
  </si>
  <si>
    <t>C11, C12</t>
  </si>
  <si>
    <t>C15</t>
  </si>
  <si>
    <t>C21, C22</t>
  </si>
  <si>
    <t>C23, C26</t>
  </si>
  <si>
    <t>C24, C27, C36, C37, C38</t>
  </si>
  <si>
    <t>C29, C32</t>
  </si>
  <si>
    <t>C30, C31</t>
  </si>
  <si>
    <t>D1, D3</t>
  </si>
  <si>
    <t>D2</t>
  </si>
  <si>
    <t>D4</t>
  </si>
  <si>
    <t>D5</t>
  </si>
  <si>
    <t>F1</t>
  </si>
  <si>
    <t>FB1</t>
  </si>
  <si>
    <t>J1</t>
  </si>
  <si>
    <t>J2</t>
  </si>
  <si>
    <t>J3</t>
  </si>
  <si>
    <t>J4</t>
  </si>
  <si>
    <t>Q1, Q2, Q3, Q4</t>
  </si>
  <si>
    <t>Q5, Q6</t>
  </si>
  <si>
    <t>R1, R2, R22</t>
  </si>
  <si>
    <t>R3, R4, R6, R7, R8, R9, R16, R19, R23</t>
  </si>
  <si>
    <t>R5, R21</t>
  </si>
  <si>
    <t>R10, R18, R20, R26</t>
  </si>
  <si>
    <t>R11, R12</t>
  </si>
  <si>
    <t>R13, R14, R15, R17</t>
  </si>
  <si>
    <t>R24</t>
  </si>
  <si>
    <t>R25</t>
  </si>
  <si>
    <t>R27, R31</t>
  </si>
  <si>
    <t>R28</t>
  </si>
  <si>
    <t>R29, R30</t>
  </si>
  <si>
    <t>S1</t>
  </si>
  <si>
    <t>S2</t>
  </si>
  <si>
    <t>TP1, TP2, TP3, TP4, TP5, TP6</t>
  </si>
  <si>
    <t>U1</t>
  </si>
  <si>
    <t>U2</t>
  </si>
  <si>
    <t>U3</t>
  </si>
  <si>
    <t>U4</t>
  </si>
  <si>
    <t>U5</t>
  </si>
  <si>
    <t>U6</t>
  </si>
  <si>
    <t>U7</t>
  </si>
  <si>
    <t>U8</t>
  </si>
  <si>
    <t>X1</t>
  </si>
  <si>
    <t>X2</t>
  </si>
  <si>
    <t>Comment</t>
  </si>
  <si>
    <t>4u7</t>
  </si>
  <si>
    <t>100n</t>
  </si>
  <si>
    <t>1u</t>
  </si>
  <si>
    <t>6p</t>
  </si>
  <si>
    <t>18p</t>
  </si>
  <si>
    <t>10u</t>
  </si>
  <si>
    <t>100u</t>
  </si>
  <si>
    <t>10p</t>
  </si>
  <si>
    <t>33p</t>
  </si>
  <si>
    <t>10n</t>
  </si>
  <si>
    <t>NM</t>
  </si>
  <si>
    <t>LED 0805</t>
  </si>
  <si>
    <t>SS2060FL</t>
  </si>
  <si>
    <t>SRV05-4</t>
  </si>
  <si>
    <t>SMAJ5.0A-E3/61</t>
  </si>
  <si>
    <t>KLM3S350RY</t>
  </si>
  <si>
    <t>600 Ω @ 100 MHz</t>
  </si>
  <si>
    <t>CONN 1x4 Pad 1.27mm</t>
  </si>
  <si>
    <t>L-KLS1-SMA-KWE-7X7-15.1</t>
  </si>
  <si>
    <t>115I-AEAA</t>
  </si>
  <si>
    <t>CONN 1x3 Micro Fit 3.00mm</t>
  </si>
  <si>
    <t>PJA3404A</t>
  </si>
  <si>
    <t>SI2365EDS</t>
  </si>
  <si>
    <t>10k</t>
  </si>
  <si>
    <t>4k7</t>
  </si>
  <si>
    <t>1k</t>
  </si>
  <si>
    <t>47k</t>
  </si>
  <si>
    <t>0R</t>
  </si>
  <si>
    <t>120k</t>
  </si>
  <si>
    <t>15k</t>
  </si>
  <si>
    <t>100k</t>
  </si>
  <si>
    <t>330R</t>
  </si>
  <si>
    <t>33k</t>
  </si>
  <si>
    <t>SW Tact 4.6x3.2mm</t>
  </si>
  <si>
    <t>SSSS812201</t>
  </si>
  <si>
    <t>Test Point</t>
  </si>
  <si>
    <t>STM32L071CBT6</t>
  </si>
  <si>
    <t>L86-M33</t>
  </si>
  <si>
    <t>BMP390</t>
  </si>
  <si>
    <t>MTS7525A04LM</t>
  </si>
  <si>
    <t>W25Q64JVSSIQ</t>
  </si>
  <si>
    <t>EG915N-EA</t>
  </si>
  <si>
    <t>TXS0104ERGYR</t>
  </si>
  <si>
    <t>TLV73333PDBVR</t>
  </si>
  <si>
    <t>RT3215-32.768-6</t>
  </si>
  <si>
    <t>RH100-8.000-12.5</t>
  </si>
  <si>
    <t>Footprint</t>
  </si>
  <si>
    <t>CAP 0603</t>
  </si>
  <si>
    <t>CAP 0402</t>
  </si>
  <si>
    <t>CAP TANT D Case</t>
  </si>
  <si>
    <t>SOD-123FL</t>
  </si>
  <si>
    <t>SOT-23-6</t>
  </si>
  <si>
    <t>SMA</t>
  </si>
  <si>
    <t>PTC 1206</t>
  </si>
  <si>
    <t>FB 0402</t>
  </si>
  <si>
    <t>CONN 1x4 PAD 1.27mm</t>
  </si>
  <si>
    <t>CONN SMA THT R/A</t>
  </si>
  <si>
    <t>CONN 1X3 MICRO-FIT 3.00MM</t>
  </si>
  <si>
    <t>SOT23-3</t>
  </si>
  <si>
    <t>RES 0402</t>
  </si>
  <si>
    <t>RES 0805</t>
  </si>
  <si>
    <t>SW TACT 4.6X3.2MM</t>
  </si>
  <si>
    <t>LQFP48</t>
  </si>
  <si>
    <t>SOP-8</t>
  </si>
  <si>
    <t>EG915N</t>
  </si>
  <si>
    <t>VQFN-14</t>
  </si>
  <si>
    <t>SOT23-5</t>
  </si>
  <si>
    <t>RT3215-32.768-X</t>
  </si>
  <si>
    <t>RH100</t>
  </si>
  <si>
    <t>Description</t>
  </si>
  <si>
    <t>Capacitor SMD 0603</t>
  </si>
  <si>
    <t>Capacitor SMD 0402</t>
  </si>
  <si>
    <t>Capacitor Tantalum SMD D Case</t>
  </si>
  <si>
    <t>LED 0805 SMD</t>
  </si>
  <si>
    <t>Rectifier Diode, Schottky, 1 Phase, 1 Element, 2A, 60V V(RRM), Silicon</t>
  </si>
  <si>
    <t>SRV Series 17.5 V 3 pF SMT RailClamp® Low Capacitance TVS Diode Array SOT-23-6</t>
  </si>
  <si>
    <t>SMAJ Series SMT Bi/Uni-Directional Transient Voltage Suppressor - SMA</t>
  </si>
  <si>
    <t>PTC Resettable Fuse</t>
  </si>
  <si>
    <t>Ferrite Bead SMD 0402</t>
  </si>
  <si>
    <t>1×4 pin header connector, 1.27 mm pitch.</t>
  </si>
  <si>
    <t>RF SMA Connector, 1 Contact(s), Board Mount, R/A</t>
  </si>
  <si>
    <t>115I-AEAA Connector Micro SIM Card Push-Pull 6P SMD Card Edge Connectors</t>
  </si>
  <si>
    <t>1×2 Micro Fit type connector, 3.0 mm pitch, surface-mount.</t>
  </si>
  <si>
    <t>SOT-23-3 package, N-Channel MOSFET</t>
  </si>
  <si>
    <t>SOT-23-3 package, P-Channel MOSFET</t>
  </si>
  <si>
    <t>Resistor SMD 0402</t>
  </si>
  <si>
    <t>Resistor SMD 0805</t>
  </si>
  <si>
    <t>4.6×3.2 mm tactile push-button switch, SPST, momentary, SMD.</t>
  </si>
  <si>
    <t>Slide Switch / Switch Slide SP3T Side Slide 0.3A 5VDC 10000Cycles Gull Wing SMD T/R</t>
  </si>
  <si>
    <t>Test Point, PCB Pad Only, Ø1.2mm</t>
  </si>
  <si>
    <t>MCU 32-Bit Ultra Low Power STM32L ARM Cortex M0+ RISC 128kB Flash 48-Pin LQFP Tray</t>
  </si>
  <si>
    <t>GNSS Module, Galileo, GLONASS, GPS, QZSS, 1.57542GHz, 1.60171GHz, -167 dBm, 35 s, 3V to 4.3V</t>
  </si>
  <si>
    <t>Pressure sensor, 300-1250hPa, 2.0*2.0*0.75mm, I2C/SPI</t>
  </si>
  <si>
    <t>7.5 x 7.5 mm magnetic passive buzzer, SMT, 3.6 V (2.5–4.5 V), 2.7 kHz, 85 dB.</t>
  </si>
  <si>
    <t>NOR Flash Serial (SPI, Dual SPI, Quad SPI) 3V/3.3V 64M-bit 8M x 8 6ns 8-Pin SOIC T/R/Tray/Tube</t>
  </si>
  <si>
    <t>Cellular, Navigation BeiDou, EDGE, Galileo, GLONASS, GNSS, GPRS, GPS, GSM, HSPA+, LTE, UMTS, WCDMA Transceiver Module 915MHz Antenna Not Included Surface Mount</t>
  </si>
  <si>
    <t>Four-bit bidirectional voltage-level shifter for open-drain and push-pull applications 14-VQFN -40 to 85</t>
  </si>
  <si>
    <t>300-mA, capacitor-free, low-IQ, low-dropout voltage regulator with enable 5-SOT-23 -40 to 125</t>
  </si>
  <si>
    <t>Parallel - Fundamental Quartz Crystal, 0.032768MHz Nom</t>
  </si>
  <si>
    <t>RH100 Series Crystal, X Mhz, X pF, Smd, 3.2Mm X 2.5Mm Raltron</t>
  </si>
  <si>
    <t>Quantity</t>
  </si>
  <si>
    <t>Supplier Part Number 1</t>
  </si>
  <si>
    <t>Supplier 1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</si>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</sst>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₺&quot;#,##0.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ptos"/>
      <family val="2"/>
    </font>
    <font>
      <sz val="24"/>
      <name val="Aptos"/>
      <family val="2"/>
    </font>
    <font>
      <sz val="12"/>
      <color theme="1"/>
      <name val="Aptos"/>
      <family val="2"/>
    </font>
    <font>
      <sz val="9"/>
      <color theme="1"/>
      <name val="Aptos"/>
      <family val="2"/>
    </font>
    <font>
      <sz val="12"/>
      <color theme="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0D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colors>
    <mruColors>
      <color rgb="FF030D42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511627</xdr:colOff>
      <xdr:row>1</xdr:row>
      <xdr:rowOff>0</xdr:rowOff>
    </xdr:from>
    <xdr:to>
      <xdr:col>10</xdr:col>
      <xdr:colOff>0</xdr:colOff>
      <xdr:row>9</xdr:row>
      <xdr:rowOff>249421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BF057C52-7530-815A-878F-282206373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00913" y="315686"/>
          <a:ext cx="1992087" cy="2002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8"/>
  <sheetViews>
    <sheetView showGridLines="0" tabSelected="1" topLeftCell="A10" zoomScale="70" zoomScaleNormal="70" workbookViewId="0">
      <selection activeCell="H25" sqref="H25"/>
    </sheetView>
  </sheetViews>
  <sheetFormatPr defaultRowHeight="14.4" x14ac:dyDescent="0.3"/>
  <cols>
    <col min="1" max="1" width="8.88671875" style="1"/>
    <col min="2" max="2" width="32.21875" style="16" customWidth="1"/>
    <col min="3" max="3" width="31.88671875" style="16" bestFit="1" customWidth="1"/>
    <col min="4" max="4" width="28.109375" style="16" bestFit="1" customWidth="1"/>
    <col min="5" max="5" width="43.6640625" style="16" customWidth="1"/>
    <col min="6" max="6" width="20.33203125" style="23" bestFit="1" customWidth="1"/>
    <col min="7" max="7" width="32" style="16" customWidth="1"/>
    <col min="8" max="8" width="28.33203125" style="23" customWidth="1"/>
    <col min="9" max="9" width="32.33203125" style="23" bestFit="1" customWidth="1"/>
    <col min="10" max="10" width="36.44140625" style="16" bestFit="1" customWidth="1"/>
    <col min="11" max="11" width="4.33203125" style="1" customWidth="1"/>
    <col min="12" max="16384" width="8.88671875" style="1"/>
  </cols>
  <sheetData>
    <row r="1" spans="1:12" ht="24.75" customHeight="1" x14ac:dyDescent="0.3">
      <c r="B1" s="15"/>
      <c r="C1" s="15"/>
      <c r="D1" s="15"/>
      <c r="E1" s="15"/>
      <c r="F1" s="2"/>
      <c r="G1" s="15"/>
      <c r="H1" s="2"/>
      <c r="I1" s="2"/>
      <c r="J1" s="15"/>
    </row>
    <row r="2" spans="1:12" ht="31.2" x14ac:dyDescent="0.3">
      <c r="A2" s="3"/>
      <c r="C2" s="19" t="s">
        <v>0</v>
      </c>
      <c r="J2" s="29"/>
    </row>
    <row r="3" spans="1:12" x14ac:dyDescent="0.3">
      <c r="A3" s="3"/>
      <c r="J3" s="30"/>
    </row>
    <row r="4" spans="1:12" ht="15.6" x14ac:dyDescent="0.3">
      <c r="A4" s="3"/>
      <c r="B4" s="4"/>
      <c r="C4" s="4" t="s">
        <v>2</v>
      </c>
      <c r="D4" s="5" t="s">
        <v>6</v>
      </c>
      <c r="E4" s="4"/>
      <c r="F4" s="24"/>
      <c r="G4" s="4"/>
      <c r="H4" s="24"/>
      <c r="I4" s="24"/>
      <c r="J4" s="31"/>
    </row>
    <row r="5" spans="1:12" ht="15.6" x14ac:dyDescent="0.3">
      <c r="A5" s="3"/>
      <c r="B5" s="4"/>
      <c r="C5" s="4" t="s">
        <v>1</v>
      </c>
      <c r="D5" s="5" t="s">
        <v>6</v>
      </c>
      <c r="E5" s="4"/>
      <c r="F5" s="24"/>
      <c r="G5" s="4"/>
      <c r="H5" s="24"/>
      <c r="I5" s="24"/>
      <c r="J5" s="31"/>
    </row>
    <row r="6" spans="1:12" ht="15.6" x14ac:dyDescent="0.3">
      <c r="A6" s="3"/>
      <c r="B6" s="4"/>
      <c r="C6" s="4" t="s">
        <v>3</v>
      </c>
      <c r="D6" s="5" t="s">
        <v>7</v>
      </c>
      <c r="E6" s="4"/>
      <c r="F6" s="24"/>
      <c r="G6" s="4"/>
      <c r="H6" s="24"/>
      <c r="I6" s="24"/>
      <c r="J6" s="31"/>
    </row>
    <row r="7" spans="1:12" ht="15.6" x14ac:dyDescent="0.3">
      <c r="A7" s="3"/>
      <c r="B7" s="4"/>
      <c r="C7" s="4" t="s">
        <v>4</v>
      </c>
      <c r="D7" s="5" t="s">
        <v>8</v>
      </c>
      <c r="E7" s="4"/>
      <c r="F7" s="24"/>
      <c r="G7" s="4"/>
      <c r="H7" s="24"/>
      <c r="I7" s="24"/>
      <c r="J7" s="31"/>
    </row>
    <row r="8" spans="1:12" ht="15.6" x14ac:dyDescent="0.3">
      <c r="A8" s="3"/>
      <c r="B8" s="4"/>
      <c r="C8" s="4"/>
      <c r="D8" s="4"/>
      <c r="E8" s="4"/>
      <c r="F8" s="24"/>
      <c r="G8" s="4"/>
      <c r="H8" s="24"/>
      <c r="I8" s="24"/>
      <c r="J8" s="31"/>
    </row>
    <row r="9" spans="1:12" ht="15.6" x14ac:dyDescent="0.3">
      <c r="A9" s="3"/>
      <c r="B9" s="4"/>
      <c r="C9" s="4"/>
      <c r="D9" s="4"/>
      <c r="E9" s="4"/>
      <c r="F9" s="24"/>
      <c r="G9" s="4"/>
      <c r="H9" s="24"/>
      <c r="I9" s="24"/>
      <c r="J9" s="31"/>
    </row>
    <row r="10" spans="1:12" ht="20.25" customHeight="1" x14ac:dyDescent="0.3">
      <c r="A10" s="3"/>
      <c r="B10" s="4"/>
      <c r="C10" s="4"/>
      <c r="D10" s="4"/>
      <c r="E10" s="4"/>
      <c r="F10" s="24"/>
      <c r="G10" s="4"/>
      <c r="H10" s="24"/>
      <c r="I10" s="24"/>
      <c r="J10" s="32"/>
    </row>
    <row r="11" spans="1:12" ht="15.6" x14ac:dyDescent="0.3">
      <c r="B11" s="6" t="s">
        <v>9</v>
      </c>
      <c r="C11" s="6" t="s">
        <v>57</v>
      </c>
      <c r="D11" s="6" t="s">
        <v>104</v>
      </c>
      <c r="E11" s="6" t="s">
        <v>127</v>
      </c>
      <c r="F11" s="6" t="s">
        <v>158</v>
      </c>
      <c r="G11" s="6" t="s">
        <v>159</v>
      </c>
      <c r="H11" s="6" t="s">
        <v>160</v>
      </c>
      <c r="I11" s="6" t="s">
        <v>161</v>
      </c>
      <c r="J11" s="6" t="s">
        <v>5</v>
      </c>
      <c r="L11" s="7"/>
    </row>
    <row r="12" spans="1:12" ht="15.6" x14ac:dyDescent="0.3">
      <c r="B12" s="17" t="s">
        <v>10</v>
      </c>
      <c r="C12" s="17" t="s">
        <v>58</v>
      </c>
      <c r="D12" s="17" t="s">
        <v>105</v>
      </c>
      <c r="E12" s="17" t="s">
        <v>128</v>
      </c>
      <c r="F12" s="8">
        <v>2</v>
      </c>
      <c r="G12" s="17"/>
      <c r="H12" s="8"/>
      <c r="I12" s="9"/>
      <c r="J12" s="17"/>
      <c r="L12" s="10"/>
    </row>
    <row r="13" spans="1:12" ht="15.6" x14ac:dyDescent="0.3">
      <c r="B13" s="18" t="s">
        <v>11</v>
      </c>
      <c r="C13" s="20" t="s">
        <v>59</v>
      </c>
      <c r="D13" s="20" t="s">
        <v>106</v>
      </c>
      <c r="E13" s="20" t="s">
        <v>129</v>
      </c>
      <c r="F13" s="11">
        <v>17</v>
      </c>
      <c r="G13" s="20"/>
      <c r="H13" s="12"/>
      <c r="I13" s="13"/>
      <c r="J13" s="33"/>
      <c r="L13" s="10"/>
    </row>
    <row r="14" spans="1:12" ht="15.6" x14ac:dyDescent="0.3">
      <c r="B14" s="17" t="s">
        <v>12</v>
      </c>
      <c r="C14" s="17" t="s">
        <v>60</v>
      </c>
      <c r="D14" s="17" t="s">
        <v>105</v>
      </c>
      <c r="E14" s="17" t="s">
        <v>128</v>
      </c>
      <c r="F14" s="8">
        <v>5</v>
      </c>
      <c r="G14" s="17"/>
      <c r="H14" s="8"/>
      <c r="I14" s="9"/>
      <c r="J14" s="17"/>
      <c r="L14" s="10"/>
    </row>
    <row r="15" spans="1:12" ht="15.6" x14ac:dyDescent="0.3">
      <c r="B15" s="18" t="s">
        <v>13</v>
      </c>
      <c r="C15" s="20" t="s">
        <v>61</v>
      </c>
      <c r="D15" s="20" t="s">
        <v>106</v>
      </c>
      <c r="E15" s="20" t="s">
        <v>129</v>
      </c>
      <c r="F15" s="11">
        <v>2</v>
      </c>
      <c r="G15" s="20"/>
      <c r="H15" s="12"/>
      <c r="I15" s="13"/>
      <c r="J15" s="33"/>
      <c r="L15" s="10"/>
    </row>
    <row r="16" spans="1:12" ht="15.6" x14ac:dyDescent="0.3">
      <c r="B16" s="17" t="s">
        <v>14</v>
      </c>
      <c r="C16" s="17" t="s">
        <v>62</v>
      </c>
      <c r="D16" s="17" t="s">
        <v>106</v>
      </c>
      <c r="E16" s="17" t="s">
        <v>129</v>
      </c>
      <c r="F16" s="8">
        <v>2</v>
      </c>
      <c r="G16" s="17"/>
      <c r="H16" s="8"/>
      <c r="I16" s="9"/>
      <c r="J16" s="17"/>
      <c r="L16" s="10"/>
    </row>
    <row r="17" spans="2:12" ht="15.6" x14ac:dyDescent="0.3">
      <c r="B17" s="18" t="s">
        <v>15</v>
      </c>
      <c r="C17" s="20" t="s">
        <v>63</v>
      </c>
      <c r="D17" s="20" t="s">
        <v>105</v>
      </c>
      <c r="E17" s="20" t="s">
        <v>128</v>
      </c>
      <c r="F17" s="11">
        <v>1</v>
      </c>
      <c r="G17" s="20"/>
      <c r="H17" s="12"/>
      <c r="I17" s="13"/>
      <c r="J17" s="33"/>
      <c r="L17" s="10"/>
    </row>
    <row r="18" spans="2:12" ht="15.6" x14ac:dyDescent="0.3">
      <c r="B18" s="17" t="s">
        <v>16</v>
      </c>
      <c r="C18" s="17" t="s">
        <v>64</v>
      </c>
      <c r="D18" s="17" t="s">
        <v>107</v>
      </c>
      <c r="E18" s="17" t="s">
        <v>130</v>
      </c>
      <c r="F18" s="8">
        <v>2</v>
      </c>
      <c r="G18" s="17"/>
      <c r="H18" s="8"/>
      <c r="I18" s="9"/>
      <c r="J18" s="17"/>
      <c r="L18" s="10"/>
    </row>
    <row r="19" spans="2:12" ht="15.6" x14ac:dyDescent="0.3">
      <c r="B19" s="18" t="s">
        <v>17</v>
      </c>
      <c r="C19" s="20" t="s">
        <v>65</v>
      </c>
      <c r="D19" s="20" t="s">
        <v>106</v>
      </c>
      <c r="E19" s="20" t="s">
        <v>129</v>
      </c>
      <c r="F19" s="11">
        <v>2</v>
      </c>
      <c r="G19" s="20"/>
      <c r="H19" s="12"/>
      <c r="I19" s="13"/>
      <c r="J19" s="33"/>
      <c r="L19" s="10"/>
    </row>
    <row r="20" spans="2:12" ht="15.6" x14ac:dyDescent="0.3">
      <c r="B20" s="17" t="s">
        <v>18</v>
      </c>
      <c r="C20" s="17" t="s">
        <v>66</v>
      </c>
      <c r="D20" s="17" t="s">
        <v>106</v>
      </c>
      <c r="E20" s="17" t="s">
        <v>129</v>
      </c>
      <c r="F20" s="8">
        <v>5</v>
      </c>
      <c r="G20" s="17"/>
      <c r="H20" s="8"/>
      <c r="I20" s="9"/>
      <c r="J20" s="17"/>
      <c r="L20" s="10"/>
    </row>
    <row r="21" spans="2:12" ht="15.6" x14ac:dyDescent="0.3">
      <c r="B21" s="18" t="s">
        <v>19</v>
      </c>
      <c r="C21" s="20" t="s">
        <v>67</v>
      </c>
      <c r="D21" s="20" t="s">
        <v>106</v>
      </c>
      <c r="E21" s="20" t="s">
        <v>129</v>
      </c>
      <c r="F21" s="11">
        <v>2</v>
      </c>
      <c r="G21" s="20"/>
      <c r="H21" s="12"/>
      <c r="I21" s="13"/>
      <c r="J21" s="33"/>
      <c r="L21" s="10"/>
    </row>
    <row r="22" spans="2:12" ht="15.6" x14ac:dyDescent="0.3">
      <c r="B22" s="17" t="s">
        <v>20</v>
      </c>
      <c r="C22" s="17" t="s">
        <v>68</v>
      </c>
      <c r="D22" s="17" t="s">
        <v>106</v>
      </c>
      <c r="E22" s="17" t="s">
        <v>129</v>
      </c>
      <c r="F22" s="8">
        <v>2</v>
      </c>
      <c r="G22" s="17"/>
      <c r="H22" s="8"/>
      <c r="I22" s="9"/>
      <c r="J22" s="17"/>
      <c r="L22" s="10"/>
    </row>
    <row r="23" spans="2:12" ht="15.6" x14ac:dyDescent="0.3">
      <c r="B23" s="18" t="s">
        <v>21</v>
      </c>
      <c r="C23" s="20" t="s">
        <v>69</v>
      </c>
      <c r="D23" s="20" t="s">
        <v>69</v>
      </c>
      <c r="E23" s="20" t="s">
        <v>131</v>
      </c>
      <c r="F23" s="11">
        <v>2</v>
      </c>
      <c r="G23" s="20"/>
      <c r="H23" s="12"/>
      <c r="I23" s="13"/>
      <c r="J23" s="33"/>
      <c r="L23" s="10"/>
    </row>
    <row r="24" spans="2:12" ht="15.6" x14ac:dyDescent="0.3">
      <c r="B24" s="17" t="s">
        <v>22</v>
      </c>
      <c r="C24" s="17" t="s">
        <v>70</v>
      </c>
      <c r="D24" s="17" t="s">
        <v>108</v>
      </c>
      <c r="E24" s="17" t="s">
        <v>132</v>
      </c>
      <c r="F24" s="8">
        <v>1</v>
      </c>
      <c r="G24" s="17"/>
      <c r="H24" s="8"/>
      <c r="I24" s="9"/>
      <c r="J24" s="17"/>
      <c r="L24" s="10"/>
    </row>
    <row r="25" spans="2:12" ht="46.8" x14ac:dyDescent="0.3">
      <c r="B25" s="18" t="s">
        <v>23</v>
      </c>
      <c r="C25" s="20" t="s">
        <v>71</v>
      </c>
      <c r="D25" s="20" t="s">
        <v>109</v>
      </c>
      <c r="E25" s="20" t="s">
        <v>133</v>
      </c>
      <c r="F25" s="11">
        <v>1</v>
      </c>
      <c r="G25" s="20"/>
      <c r="H25" s="12"/>
      <c r="I25" s="13"/>
      <c r="J25" s="33"/>
      <c r="L25" s="10"/>
    </row>
    <row r="26" spans="2:12" ht="15.6" x14ac:dyDescent="0.3">
      <c r="B26" s="17" t="s">
        <v>24</v>
      </c>
      <c r="C26" s="17" t="s">
        <v>72</v>
      </c>
      <c r="D26" s="17" t="s">
        <v>110</v>
      </c>
      <c r="E26" s="17" t="s">
        <v>134</v>
      </c>
      <c r="F26" s="8">
        <v>1</v>
      </c>
      <c r="G26" s="17"/>
      <c r="H26" s="8"/>
      <c r="I26" s="9"/>
      <c r="J26" s="17"/>
      <c r="L26" s="10"/>
    </row>
    <row r="27" spans="2:12" ht="15.6" x14ac:dyDescent="0.3">
      <c r="B27" s="18" t="s">
        <v>25</v>
      </c>
      <c r="C27" s="20" t="s">
        <v>73</v>
      </c>
      <c r="D27" s="20" t="s">
        <v>111</v>
      </c>
      <c r="E27" s="20" t="s">
        <v>135</v>
      </c>
      <c r="F27" s="11">
        <v>1</v>
      </c>
      <c r="G27" s="20"/>
      <c r="H27" s="12"/>
      <c r="I27" s="13"/>
      <c r="J27" s="33"/>
      <c r="L27" s="10"/>
    </row>
    <row r="28" spans="2:12" ht="15.6" x14ac:dyDescent="0.3">
      <c r="B28" s="17" t="s">
        <v>26</v>
      </c>
      <c r="C28" s="17" t="s">
        <v>74</v>
      </c>
      <c r="D28" s="17" t="s">
        <v>112</v>
      </c>
      <c r="E28" s="17" t="s">
        <v>136</v>
      </c>
      <c r="F28" s="8">
        <v>1</v>
      </c>
      <c r="G28" s="17"/>
      <c r="H28" s="8"/>
      <c r="I28" s="9"/>
      <c r="J28" s="17"/>
      <c r="L28" s="10"/>
    </row>
    <row r="29" spans="2:12" ht="15.6" x14ac:dyDescent="0.3">
      <c r="B29" s="18" t="s">
        <v>27</v>
      </c>
      <c r="C29" s="20" t="s">
        <v>75</v>
      </c>
      <c r="D29" s="20" t="s">
        <v>113</v>
      </c>
      <c r="E29" s="20" t="s">
        <v>137</v>
      </c>
      <c r="F29" s="11">
        <v>1</v>
      </c>
      <c r="G29" s="20"/>
      <c r="H29" s="12"/>
      <c r="I29" s="13"/>
      <c r="J29" s="33"/>
      <c r="L29" s="10"/>
    </row>
    <row r="30" spans="2:12" ht="15.6" x14ac:dyDescent="0.3">
      <c r="B30" s="17" t="s">
        <v>28</v>
      </c>
      <c r="C30" s="17" t="s">
        <v>76</v>
      </c>
      <c r="D30" s="17" t="s">
        <v>114</v>
      </c>
      <c r="E30" s="17" t="s">
        <v>138</v>
      </c>
      <c r="F30" s="8">
        <v>1</v>
      </c>
      <c r="G30" s="17"/>
      <c r="H30" s="8"/>
      <c r="I30" s="9"/>
      <c r="J30" s="17"/>
      <c r="L30" s="10"/>
    </row>
    <row r="31" spans="2:12" ht="31.2" x14ac:dyDescent="0.3">
      <c r="B31" s="18" t="s">
        <v>29</v>
      </c>
      <c r="C31" s="20" t="s">
        <v>77</v>
      </c>
      <c r="D31" s="20" t="s">
        <v>77</v>
      </c>
      <c r="E31" s="20" t="s">
        <v>139</v>
      </c>
      <c r="F31" s="11">
        <v>1</v>
      </c>
      <c r="G31" s="20"/>
      <c r="H31" s="12"/>
      <c r="I31" s="13"/>
      <c r="J31" s="33"/>
      <c r="L31" s="10"/>
    </row>
    <row r="32" spans="2:12" ht="15.6" x14ac:dyDescent="0.3">
      <c r="B32" s="17" t="s">
        <v>30</v>
      </c>
      <c r="C32" s="17" t="s">
        <v>78</v>
      </c>
      <c r="D32" s="17" t="s">
        <v>115</v>
      </c>
      <c r="E32" s="17" t="s">
        <v>140</v>
      </c>
      <c r="F32" s="8">
        <v>1</v>
      </c>
      <c r="G32" s="17"/>
      <c r="H32" s="8"/>
      <c r="I32" s="9"/>
      <c r="J32" s="17"/>
      <c r="L32" s="10"/>
    </row>
    <row r="33" spans="2:12" ht="15.6" x14ac:dyDescent="0.3">
      <c r="B33" s="18" t="s">
        <v>31</v>
      </c>
      <c r="C33" s="20" t="s">
        <v>79</v>
      </c>
      <c r="D33" s="20" t="s">
        <v>116</v>
      </c>
      <c r="E33" s="20" t="s">
        <v>141</v>
      </c>
      <c r="F33" s="11">
        <v>4</v>
      </c>
      <c r="G33" s="20"/>
      <c r="H33" s="12"/>
      <c r="I33" s="13"/>
      <c r="J33" s="33"/>
      <c r="L33" s="10"/>
    </row>
    <row r="34" spans="2:12" ht="15.6" x14ac:dyDescent="0.3">
      <c r="B34" s="17" t="s">
        <v>32</v>
      </c>
      <c r="C34" s="17" t="s">
        <v>80</v>
      </c>
      <c r="D34" s="17" t="s">
        <v>116</v>
      </c>
      <c r="E34" s="17" t="s">
        <v>142</v>
      </c>
      <c r="F34" s="8">
        <v>2</v>
      </c>
      <c r="G34" s="17"/>
      <c r="H34" s="8"/>
      <c r="I34" s="9"/>
      <c r="J34" s="17"/>
      <c r="L34" s="10"/>
    </row>
    <row r="35" spans="2:12" ht="15.6" x14ac:dyDescent="0.3">
      <c r="B35" s="18" t="s">
        <v>33</v>
      </c>
      <c r="C35" s="20" t="s">
        <v>81</v>
      </c>
      <c r="D35" s="20" t="s">
        <v>117</v>
      </c>
      <c r="E35" s="20" t="s">
        <v>143</v>
      </c>
      <c r="F35" s="11">
        <v>3</v>
      </c>
      <c r="G35" s="20"/>
      <c r="H35" s="12"/>
      <c r="I35" s="13"/>
      <c r="J35" s="33"/>
      <c r="L35" s="10"/>
    </row>
    <row r="36" spans="2:12" ht="15.6" x14ac:dyDescent="0.3">
      <c r="B36" s="17" t="s">
        <v>34</v>
      </c>
      <c r="C36" s="17" t="s">
        <v>82</v>
      </c>
      <c r="D36" s="17" t="s">
        <v>117</v>
      </c>
      <c r="E36" s="17" t="s">
        <v>143</v>
      </c>
      <c r="F36" s="8">
        <v>9</v>
      </c>
      <c r="G36" s="17"/>
      <c r="H36" s="8"/>
      <c r="I36" s="9"/>
      <c r="J36" s="17"/>
      <c r="L36" s="10"/>
    </row>
    <row r="37" spans="2:12" ht="15.6" x14ac:dyDescent="0.3">
      <c r="B37" s="18" t="s">
        <v>35</v>
      </c>
      <c r="C37" s="20" t="s">
        <v>83</v>
      </c>
      <c r="D37" s="20" t="s">
        <v>117</v>
      </c>
      <c r="E37" s="20" t="s">
        <v>143</v>
      </c>
      <c r="F37" s="11">
        <v>2</v>
      </c>
      <c r="G37" s="20"/>
      <c r="H37" s="12"/>
      <c r="I37" s="13"/>
      <c r="J37" s="33"/>
      <c r="L37" s="10"/>
    </row>
    <row r="38" spans="2:12" ht="15.6" x14ac:dyDescent="0.3">
      <c r="B38" s="17" t="s">
        <v>36</v>
      </c>
      <c r="C38" s="17" t="s">
        <v>84</v>
      </c>
      <c r="D38" s="17" t="s">
        <v>117</v>
      </c>
      <c r="E38" s="17" t="s">
        <v>143</v>
      </c>
      <c r="F38" s="8">
        <v>4</v>
      </c>
      <c r="G38" s="17"/>
      <c r="H38" s="8"/>
      <c r="I38" s="9"/>
      <c r="J38" s="17"/>
      <c r="L38" s="10"/>
    </row>
    <row r="39" spans="2:12" ht="15.6" x14ac:dyDescent="0.3">
      <c r="B39" s="18" t="s">
        <v>37</v>
      </c>
      <c r="C39" s="20" t="s">
        <v>85</v>
      </c>
      <c r="D39" s="20" t="s">
        <v>118</v>
      </c>
      <c r="E39" s="20" t="s">
        <v>144</v>
      </c>
      <c r="F39" s="11">
        <v>2</v>
      </c>
      <c r="G39" s="20"/>
      <c r="H39" s="12"/>
      <c r="I39" s="13"/>
      <c r="J39" s="33"/>
      <c r="L39" s="10"/>
    </row>
    <row r="40" spans="2:12" ht="15.6" x14ac:dyDescent="0.3">
      <c r="B40" s="17" t="s">
        <v>38</v>
      </c>
      <c r="C40" s="17" t="s">
        <v>85</v>
      </c>
      <c r="D40" s="17" t="s">
        <v>117</v>
      </c>
      <c r="E40" s="17" t="s">
        <v>143</v>
      </c>
      <c r="F40" s="8">
        <v>4</v>
      </c>
      <c r="G40" s="17"/>
      <c r="H40" s="8"/>
      <c r="I40" s="9"/>
      <c r="J40" s="17"/>
      <c r="L40" s="10"/>
    </row>
    <row r="41" spans="2:12" ht="15.6" x14ac:dyDescent="0.3">
      <c r="B41" s="18" t="s">
        <v>39</v>
      </c>
      <c r="C41" s="20" t="s">
        <v>86</v>
      </c>
      <c r="D41" s="20" t="s">
        <v>117</v>
      </c>
      <c r="E41" s="20" t="s">
        <v>143</v>
      </c>
      <c r="F41" s="11">
        <v>1</v>
      </c>
      <c r="G41" s="20"/>
      <c r="H41" s="12"/>
      <c r="I41" s="13"/>
      <c r="J41" s="33"/>
      <c r="L41" s="10"/>
    </row>
    <row r="42" spans="2:12" ht="15.6" x14ac:dyDescent="0.3">
      <c r="B42" s="17" t="s">
        <v>40</v>
      </c>
      <c r="C42" s="17" t="s">
        <v>87</v>
      </c>
      <c r="D42" s="17" t="s">
        <v>117</v>
      </c>
      <c r="E42" s="17" t="s">
        <v>143</v>
      </c>
      <c r="F42" s="8">
        <v>1</v>
      </c>
      <c r="G42" s="17"/>
      <c r="H42" s="8"/>
      <c r="I42" s="9"/>
      <c r="J42" s="17"/>
      <c r="L42" s="10"/>
    </row>
    <row r="43" spans="2:12" ht="15.6" x14ac:dyDescent="0.3">
      <c r="B43" s="18" t="s">
        <v>41</v>
      </c>
      <c r="C43" s="20" t="s">
        <v>88</v>
      </c>
      <c r="D43" s="20" t="s">
        <v>117</v>
      </c>
      <c r="E43" s="20" t="s">
        <v>143</v>
      </c>
      <c r="F43" s="11">
        <v>2</v>
      </c>
      <c r="G43" s="20"/>
      <c r="H43" s="12"/>
      <c r="I43" s="13"/>
      <c r="J43" s="33"/>
      <c r="L43" s="10"/>
    </row>
    <row r="44" spans="2:12" ht="15.6" x14ac:dyDescent="0.3">
      <c r="B44" s="17" t="s">
        <v>42</v>
      </c>
      <c r="C44" s="17" t="s">
        <v>89</v>
      </c>
      <c r="D44" s="17" t="s">
        <v>117</v>
      </c>
      <c r="E44" s="17" t="s">
        <v>143</v>
      </c>
      <c r="F44" s="8">
        <v>1</v>
      </c>
      <c r="G44" s="17"/>
      <c r="H44" s="8"/>
      <c r="I44" s="9"/>
      <c r="J44" s="17"/>
      <c r="L44" s="10"/>
    </row>
    <row r="45" spans="2:12" ht="15.6" x14ac:dyDescent="0.3">
      <c r="B45" s="18" t="s">
        <v>43</v>
      </c>
      <c r="C45" s="20" t="s">
        <v>90</v>
      </c>
      <c r="D45" s="20" t="s">
        <v>117</v>
      </c>
      <c r="E45" s="20" t="s">
        <v>143</v>
      </c>
      <c r="F45" s="11">
        <v>2</v>
      </c>
      <c r="G45" s="20"/>
      <c r="H45" s="12"/>
      <c r="I45" s="13"/>
      <c r="J45" s="33"/>
      <c r="L45" s="10"/>
    </row>
    <row r="46" spans="2:12" ht="15.6" x14ac:dyDescent="0.3">
      <c r="B46" s="17" t="s">
        <v>44</v>
      </c>
      <c r="C46" s="17" t="s">
        <v>91</v>
      </c>
      <c r="D46" s="17" t="s">
        <v>119</v>
      </c>
      <c r="E46" s="17" t="s">
        <v>145</v>
      </c>
      <c r="F46" s="8">
        <v>1</v>
      </c>
      <c r="G46" s="17"/>
      <c r="H46" s="8"/>
      <c r="I46" s="9"/>
      <c r="J46" s="17"/>
      <c r="L46" s="10"/>
    </row>
    <row r="47" spans="2:12" ht="46.8" x14ac:dyDescent="0.3">
      <c r="B47" s="18" t="s">
        <v>45</v>
      </c>
      <c r="C47" s="20" t="s">
        <v>92</v>
      </c>
      <c r="D47" s="20" t="s">
        <v>92</v>
      </c>
      <c r="E47" s="20" t="s">
        <v>146</v>
      </c>
      <c r="F47" s="11">
        <v>1</v>
      </c>
      <c r="G47" s="20"/>
      <c r="H47" s="12"/>
      <c r="I47" s="13"/>
      <c r="J47" s="33"/>
      <c r="L47" s="10"/>
    </row>
    <row r="48" spans="2:12" ht="15.6" x14ac:dyDescent="0.3">
      <c r="B48" s="17" t="s">
        <v>46</v>
      </c>
      <c r="C48" s="17" t="s">
        <v>93</v>
      </c>
      <c r="D48" s="17" t="s">
        <v>93</v>
      </c>
      <c r="E48" s="17" t="s">
        <v>147</v>
      </c>
      <c r="F48" s="8">
        <v>6</v>
      </c>
      <c r="G48" s="17"/>
      <c r="H48" s="8"/>
      <c r="I48" s="9"/>
      <c r="J48" s="17"/>
      <c r="L48" s="10"/>
    </row>
    <row r="49" spans="2:12" ht="46.8" x14ac:dyDescent="0.3">
      <c r="B49" s="18" t="s">
        <v>47</v>
      </c>
      <c r="C49" s="20" t="s">
        <v>94</v>
      </c>
      <c r="D49" s="20" t="s">
        <v>120</v>
      </c>
      <c r="E49" s="20" t="s">
        <v>148</v>
      </c>
      <c r="F49" s="11">
        <v>1</v>
      </c>
      <c r="G49" s="20"/>
      <c r="H49" s="12"/>
      <c r="I49" s="13"/>
      <c r="J49" s="33"/>
      <c r="L49" s="10"/>
    </row>
    <row r="50" spans="2:12" ht="15.6" x14ac:dyDescent="0.3">
      <c r="B50" s="17" t="s">
        <v>48</v>
      </c>
      <c r="C50" s="17" t="s">
        <v>95</v>
      </c>
      <c r="D50" s="17" t="s">
        <v>95</v>
      </c>
      <c r="E50" s="17" t="s">
        <v>149</v>
      </c>
      <c r="F50" s="8">
        <v>1</v>
      </c>
      <c r="G50" s="17"/>
      <c r="H50" s="8"/>
      <c r="I50" s="9"/>
      <c r="J50" s="17"/>
      <c r="L50" s="10"/>
    </row>
    <row r="51" spans="2:12" ht="31.2" x14ac:dyDescent="0.3">
      <c r="B51" s="18" t="s">
        <v>49</v>
      </c>
      <c r="C51" s="20" t="s">
        <v>96</v>
      </c>
      <c r="D51" s="20" t="s">
        <v>96</v>
      </c>
      <c r="E51" s="20" t="s">
        <v>150</v>
      </c>
      <c r="F51" s="11">
        <v>1</v>
      </c>
      <c r="G51" s="20"/>
      <c r="H51" s="12"/>
      <c r="I51" s="13"/>
      <c r="J51" s="33"/>
      <c r="L51" s="10"/>
    </row>
    <row r="52" spans="2:12" ht="15.6" x14ac:dyDescent="0.3">
      <c r="B52" s="17" t="s">
        <v>50</v>
      </c>
      <c r="C52" s="17" t="s">
        <v>97</v>
      </c>
      <c r="D52" s="17" t="s">
        <v>97</v>
      </c>
      <c r="E52" s="17" t="s">
        <v>151</v>
      </c>
      <c r="F52" s="8">
        <v>1</v>
      </c>
      <c r="G52" s="17"/>
      <c r="H52" s="8"/>
      <c r="I52" s="9"/>
      <c r="J52" s="17"/>
      <c r="L52" s="10"/>
    </row>
    <row r="53" spans="2:12" ht="46.8" x14ac:dyDescent="0.3">
      <c r="B53" s="18" t="s">
        <v>51</v>
      </c>
      <c r="C53" s="20" t="s">
        <v>98</v>
      </c>
      <c r="D53" s="20" t="s">
        <v>121</v>
      </c>
      <c r="E53" s="20" t="s">
        <v>152</v>
      </c>
      <c r="F53" s="11">
        <v>1</v>
      </c>
      <c r="G53" s="20"/>
      <c r="H53" s="12"/>
      <c r="I53" s="13"/>
      <c r="J53" s="33"/>
      <c r="L53" s="10"/>
    </row>
    <row r="54" spans="2:12" ht="15.6" x14ac:dyDescent="0.3">
      <c r="B54" s="17" t="s">
        <v>52</v>
      </c>
      <c r="C54" s="17" t="s">
        <v>99</v>
      </c>
      <c r="D54" s="17" t="s">
        <v>122</v>
      </c>
      <c r="E54" s="17" t="s">
        <v>153</v>
      </c>
      <c r="F54" s="8">
        <v>1</v>
      </c>
      <c r="G54" s="17"/>
      <c r="H54" s="8"/>
      <c r="I54" s="9"/>
      <c r="J54" s="17"/>
      <c r="L54" s="10"/>
    </row>
    <row r="55" spans="2:12" ht="46.8" x14ac:dyDescent="0.3">
      <c r="B55" s="18" t="s">
        <v>53</v>
      </c>
      <c r="C55" s="20" t="s">
        <v>100</v>
      </c>
      <c r="D55" s="20" t="s">
        <v>123</v>
      </c>
      <c r="E55" s="20" t="s">
        <v>154</v>
      </c>
      <c r="F55" s="11">
        <v>1</v>
      </c>
      <c r="G55" s="20"/>
      <c r="H55" s="12"/>
      <c r="I55" s="13"/>
      <c r="J55" s="33"/>
      <c r="L55" s="10"/>
    </row>
    <row r="56" spans="2:12" ht="15.6" x14ac:dyDescent="0.3">
      <c r="B56" s="17" t="s">
        <v>54</v>
      </c>
      <c r="C56" s="17" t="s">
        <v>101</v>
      </c>
      <c r="D56" s="17" t="s">
        <v>124</v>
      </c>
      <c r="E56" s="17" t="s">
        <v>155</v>
      </c>
      <c r="F56" s="8">
        <v>1</v>
      </c>
      <c r="G56" s="17"/>
      <c r="H56" s="8"/>
      <c r="I56" s="9"/>
      <c r="J56" s="17"/>
      <c r="L56" s="10"/>
    </row>
    <row r="57" spans="2:12" ht="31.2" x14ac:dyDescent="0.3">
      <c r="B57" s="18" t="s">
        <v>55</v>
      </c>
      <c r="C57" s="20" t="s">
        <v>102</v>
      </c>
      <c r="D57" s="20" t="s">
        <v>125</v>
      </c>
      <c r="E57" s="20" t="s">
        <v>156</v>
      </c>
      <c r="F57" s="11">
        <v>1</v>
      </c>
      <c r="G57" s="20"/>
      <c r="H57" s="12"/>
      <c r="I57" s="13"/>
      <c r="J57" s="33"/>
      <c r="L57" s="10"/>
    </row>
    <row r="58" spans="2:12" ht="17.25" customHeight="1" x14ac:dyDescent="0.3">
      <c r="B58" s="17" t="s">
        <v>56</v>
      </c>
      <c r="C58" s="17" t="s">
        <v>103</v>
      </c>
      <c r="D58" s="17" t="s">
        <v>126</v>
      </c>
      <c r="E58" s="17" t="s">
        <v>157</v>
      </c>
      <c r="F58" s="8">
        <v>1</v>
      </c>
      <c r="G58" s="17"/>
      <c r="H58" s="8"/>
      <c r="I58" s="9"/>
      <c r="J58" s="17"/>
      <c r="L58" s="10"/>
    </row>
    <row r="59" spans="2:12" ht="15.6" x14ac:dyDescent="0.3">
      <c r="B59" s="4"/>
      <c r="C59" s="21"/>
      <c r="D59" s="21"/>
      <c r="E59" s="21"/>
      <c r="F59" s="11">
        <f>SUM(F13:F58)</f>
        <v>106</v>
      </c>
      <c r="G59" s="21"/>
      <c r="I59" s="14">
        <f>SUM(I13:I58)</f>
        <v>0</v>
      </c>
    </row>
    <row r="60" spans="2:12" ht="15.6" x14ac:dyDescent="0.3">
      <c r="B60" s="4"/>
      <c r="C60" s="21"/>
      <c r="D60" s="21"/>
      <c r="E60" s="21"/>
      <c r="F60" s="25"/>
      <c r="G60" s="21"/>
      <c r="H60" s="27"/>
      <c r="I60" s="27"/>
    </row>
    <row r="61" spans="2:12" ht="15.6" x14ac:dyDescent="0.3">
      <c r="B61" s="4"/>
      <c r="C61" s="21"/>
      <c r="D61" s="21"/>
      <c r="E61" s="21"/>
      <c r="F61" s="25"/>
      <c r="G61" s="21"/>
      <c r="H61" s="27"/>
      <c r="I61" s="24"/>
    </row>
    <row r="62" spans="2:12" ht="15.6" x14ac:dyDescent="0.3">
      <c r="B62" s="4"/>
      <c r="C62" s="21"/>
      <c r="D62" s="21"/>
      <c r="E62" s="21"/>
      <c r="F62" s="25"/>
      <c r="G62" s="21"/>
      <c r="H62" s="27"/>
      <c r="I62" s="24"/>
    </row>
    <row r="63" spans="2:12" ht="15.6" x14ac:dyDescent="0.3">
      <c r="B63" s="4"/>
      <c r="C63" s="21"/>
      <c r="D63" s="21"/>
      <c r="E63" s="21"/>
      <c r="F63" s="25"/>
      <c r="G63" s="21"/>
      <c r="H63" s="25"/>
      <c r="I63" s="27"/>
      <c r="J63" s="4"/>
    </row>
    <row r="64" spans="2:12" ht="15.6" x14ac:dyDescent="0.3">
      <c r="B64" s="4"/>
      <c r="C64" s="21"/>
      <c r="D64" s="21"/>
      <c r="E64" s="21"/>
      <c r="F64" s="25"/>
      <c r="G64" s="21"/>
      <c r="H64" s="25"/>
      <c r="I64" s="27"/>
      <c r="J64" s="4"/>
    </row>
    <row r="65" spans="2:10" ht="15.6" x14ac:dyDescent="0.3">
      <c r="B65" s="4"/>
      <c r="C65" s="21"/>
      <c r="D65" s="21"/>
      <c r="E65" s="21"/>
      <c r="F65" s="25"/>
      <c r="G65" s="21"/>
      <c r="H65" s="25"/>
      <c r="I65" s="27"/>
      <c r="J65" s="4"/>
    </row>
    <row r="66" spans="2:10" ht="15.6" x14ac:dyDescent="0.3">
      <c r="B66" s="4"/>
      <c r="C66" s="21"/>
      <c r="D66" s="21"/>
      <c r="E66" s="21"/>
      <c r="F66" s="25"/>
      <c r="G66" s="21"/>
      <c r="H66" s="25"/>
      <c r="I66" s="27"/>
      <c r="J66" s="4"/>
    </row>
    <row r="67" spans="2:10" ht="15.6" x14ac:dyDescent="0.3">
      <c r="B67" s="4"/>
      <c r="C67" s="21"/>
      <c r="D67" s="21"/>
      <c r="E67" s="21"/>
      <c r="F67" s="25"/>
      <c r="G67" s="21"/>
      <c r="H67" s="25"/>
      <c r="I67" s="27"/>
      <c r="J67" s="4"/>
    </row>
    <row r="68" spans="2:10" ht="15.6" x14ac:dyDescent="0.3">
      <c r="B68" s="4"/>
      <c r="C68" s="21"/>
      <c r="D68" s="21"/>
      <c r="E68" s="21"/>
      <c r="F68" s="25"/>
      <c r="G68" s="21"/>
      <c r="H68" s="25"/>
      <c r="I68" s="27"/>
      <c r="J68" s="4"/>
    </row>
    <row r="69" spans="2:10" ht="15.6" x14ac:dyDescent="0.3">
      <c r="B69" s="4"/>
      <c r="C69" s="21"/>
      <c r="D69" s="21"/>
      <c r="E69" s="21"/>
      <c r="F69" s="25"/>
      <c r="G69" s="21"/>
      <c r="H69" s="25"/>
      <c r="I69" s="27"/>
      <c r="J69" s="4"/>
    </row>
    <row r="70" spans="2:10" ht="15.6" x14ac:dyDescent="0.3">
      <c r="B70" s="4"/>
      <c r="C70" s="21"/>
      <c r="D70" s="21"/>
      <c r="E70" s="21"/>
      <c r="F70" s="25"/>
      <c r="G70" s="21"/>
      <c r="H70" s="25"/>
      <c r="I70" s="27"/>
      <c r="J70" s="4"/>
    </row>
    <row r="71" spans="2:10" ht="15.6" x14ac:dyDescent="0.3">
      <c r="B71" s="4"/>
      <c r="C71" s="21"/>
      <c r="D71" s="21"/>
      <c r="E71" s="21"/>
      <c r="F71" s="25"/>
      <c r="G71" s="21"/>
      <c r="H71" s="25"/>
      <c r="I71" s="27"/>
      <c r="J71" s="4"/>
    </row>
    <row r="72" spans="2:10" ht="15.6" x14ac:dyDescent="0.3">
      <c r="B72" s="4"/>
      <c r="C72" s="21"/>
      <c r="D72" s="21"/>
      <c r="E72" s="21"/>
      <c r="F72" s="25"/>
      <c r="G72" s="21"/>
      <c r="H72" s="25"/>
      <c r="I72" s="27"/>
      <c r="J72" s="4"/>
    </row>
    <row r="73" spans="2:10" ht="15.6" x14ac:dyDescent="0.3">
      <c r="B73" s="4"/>
      <c r="C73" s="21"/>
      <c r="D73" s="21"/>
      <c r="E73" s="21"/>
      <c r="F73" s="25"/>
      <c r="G73" s="21"/>
      <c r="H73" s="25"/>
      <c r="I73" s="27"/>
      <c r="J73" s="4"/>
    </row>
    <row r="74" spans="2:10" ht="15.6" x14ac:dyDescent="0.3">
      <c r="B74" s="4"/>
      <c r="C74" s="21"/>
      <c r="D74" s="21"/>
      <c r="E74" s="21"/>
      <c r="F74" s="25"/>
      <c r="G74" s="21"/>
      <c r="H74" s="25"/>
      <c r="I74" s="27"/>
      <c r="J74" s="4"/>
    </row>
    <row r="75" spans="2:10" ht="15.6" x14ac:dyDescent="0.3">
      <c r="B75" s="4"/>
      <c r="C75" s="21"/>
      <c r="D75" s="21"/>
      <c r="E75" s="21"/>
      <c r="F75" s="25"/>
      <c r="G75" s="21"/>
      <c r="H75" s="25"/>
      <c r="I75" s="27"/>
      <c r="J75" s="4"/>
    </row>
    <row r="76" spans="2:10" ht="15.6" x14ac:dyDescent="0.3">
      <c r="B76" s="4"/>
      <c r="C76" s="21"/>
      <c r="D76" s="21"/>
      <c r="E76" s="21"/>
      <c r="F76" s="25"/>
      <c r="G76" s="21"/>
      <c r="H76" s="25"/>
      <c r="I76" s="27"/>
      <c r="J76" s="4"/>
    </row>
    <row r="77" spans="2:10" ht="15.6" x14ac:dyDescent="0.3">
      <c r="B77" s="4"/>
      <c r="C77" s="21"/>
      <c r="D77" s="21"/>
      <c r="E77" s="21"/>
      <c r="F77" s="25"/>
      <c r="G77" s="21"/>
      <c r="H77" s="25"/>
      <c r="I77" s="27"/>
      <c r="J77" s="4"/>
    </row>
    <row r="78" spans="2:10" ht="15.6" x14ac:dyDescent="0.3">
      <c r="B78" s="4"/>
      <c r="C78" s="21"/>
      <c r="D78" s="21"/>
      <c r="E78" s="21"/>
      <c r="F78" s="25"/>
      <c r="G78" s="21"/>
      <c r="H78" s="25"/>
      <c r="I78" s="27"/>
      <c r="J78" s="4"/>
    </row>
    <row r="79" spans="2:10" ht="15.6" x14ac:dyDescent="0.3">
      <c r="B79" s="4"/>
      <c r="C79" s="21"/>
      <c r="D79" s="21"/>
      <c r="E79" s="21"/>
      <c r="F79" s="25"/>
      <c r="G79" s="21"/>
      <c r="H79" s="25"/>
      <c r="I79" s="27"/>
      <c r="J79" s="4"/>
    </row>
    <row r="80" spans="2:10" ht="15.6" x14ac:dyDescent="0.3">
      <c r="B80" s="4"/>
      <c r="C80" s="21"/>
      <c r="D80" s="21"/>
      <c r="E80" s="21"/>
      <c r="F80" s="25"/>
      <c r="G80" s="21"/>
      <c r="H80" s="25"/>
      <c r="I80" s="27"/>
      <c r="J80" s="4"/>
    </row>
    <row r="81" spans="2:10" ht="15.6" x14ac:dyDescent="0.3">
      <c r="B81" s="4"/>
      <c r="C81" s="21"/>
      <c r="D81" s="21"/>
      <c r="E81" s="21"/>
      <c r="F81" s="25"/>
      <c r="G81" s="21"/>
      <c r="H81" s="25"/>
      <c r="I81" s="27"/>
      <c r="J81" s="4"/>
    </row>
    <row r="82" spans="2:10" ht="15.6" x14ac:dyDescent="0.3">
      <c r="B82" s="4"/>
      <c r="C82" s="21"/>
      <c r="D82" s="21"/>
      <c r="E82" s="21"/>
      <c r="F82" s="25"/>
      <c r="G82" s="21"/>
      <c r="H82" s="25"/>
      <c r="I82" s="27"/>
      <c r="J82" s="4"/>
    </row>
    <row r="83" spans="2:10" ht="15.6" x14ac:dyDescent="0.3">
      <c r="B83" s="4"/>
      <c r="C83" s="21"/>
      <c r="D83" s="21"/>
      <c r="E83" s="21"/>
      <c r="F83" s="25"/>
      <c r="G83" s="21"/>
      <c r="H83" s="25"/>
      <c r="I83" s="27"/>
      <c r="J83" s="4"/>
    </row>
    <row r="84" spans="2:10" ht="15.6" x14ac:dyDescent="0.3">
      <c r="B84" s="4"/>
      <c r="C84" s="21"/>
      <c r="D84" s="21"/>
      <c r="E84" s="21"/>
      <c r="F84" s="25"/>
      <c r="G84" s="21"/>
      <c r="H84" s="25"/>
      <c r="I84" s="27"/>
      <c r="J84" s="4"/>
    </row>
    <row r="85" spans="2:10" ht="15.6" x14ac:dyDescent="0.3">
      <c r="B85" s="4"/>
      <c r="C85" s="21"/>
      <c r="D85" s="21"/>
      <c r="E85" s="21"/>
      <c r="F85" s="25"/>
      <c r="G85" s="21"/>
      <c r="H85" s="25"/>
      <c r="I85" s="27"/>
      <c r="J85" s="4"/>
    </row>
    <row r="86" spans="2:10" ht="15.6" x14ac:dyDescent="0.3">
      <c r="B86" s="4"/>
      <c r="C86" s="21"/>
      <c r="D86" s="21"/>
      <c r="E86" s="21"/>
      <c r="F86" s="25"/>
      <c r="G86" s="21"/>
      <c r="H86" s="25"/>
      <c r="I86" s="27"/>
      <c r="J86" s="4"/>
    </row>
    <row r="87" spans="2:10" ht="15.6" x14ac:dyDescent="0.3">
      <c r="B87" s="4"/>
      <c r="C87" s="21"/>
      <c r="D87" s="21"/>
      <c r="E87" s="21"/>
      <c r="F87" s="25"/>
      <c r="G87" s="21"/>
      <c r="H87" s="25"/>
      <c r="I87" s="27"/>
      <c r="J87" s="4"/>
    </row>
    <row r="88" spans="2:10" ht="15.6" x14ac:dyDescent="0.3">
      <c r="B88" s="4"/>
      <c r="C88" s="21"/>
      <c r="D88" s="21"/>
      <c r="E88" s="21"/>
      <c r="F88" s="25"/>
      <c r="G88" s="21"/>
      <c r="H88" s="25"/>
      <c r="I88" s="27"/>
      <c r="J88" s="4"/>
    </row>
    <row r="89" spans="2:10" ht="15.6" x14ac:dyDescent="0.3">
      <c r="B89" s="4"/>
      <c r="C89" s="21"/>
      <c r="D89" s="21"/>
      <c r="E89" s="21"/>
      <c r="F89" s="25"/>
      <c r="G89" s="21"/>
      <c r="H89" s="25"/>
      <c r="I89" s="27"/>
      <c r="J89" s="4"/>
    </row>
    <row r="90" spans="2:10" ht="15.6" x14ac:dyDescent="0.3">
      <c r="B90" s="4"/>
      <c r="C90" s="21"/>
      <c r="D90" s="21"/>
      <c r="E90" s="21"/>
      <c r="F90" s="25"/>
      <c r="G90" s="21"/>
      <c r="H90" s="25"/>
      <c r="I90" s="27"/>
      <c r="J90" s="4"/>
    </row>
    <row r="91" spans="2:10" x14ac:dyDescent="0.3">
      <c r="E91" s="22"/>
      <c r="F91" s="26"/>
      <c r="G91" s="22"/>
      <c r="H91" s="26"/>
      <c r="I91" s="28"/>
      <c r="J91" s="22"/>
    </row>
    <row r="93" spans="2:10" ht="15.6" x14ac:dyDescent="0.3">
      <c r="B93" s="4"/>
      <c r="C93" s="4"/>
      <c r="D93" s="4"/>
      <c r="E93" s="4"/>
      <c r="F93" s="24"/>
      <c r="G93" s="4"/>
      <c r="H93" s="24"/>
      <c r="I93" s="24"/>
      <c r="J93" s="4"/>
    </row>
    <row r="94" spans="2:10" ht="15.6" x14ac:dyDescent="0.3">
      <c r="B94" s="4"/>
      <c r="C94" s="4"/>
      <c r="D94" s="4"/>
      <c r="E94" s="4"/>
      <c r="F94" s="24"/>
      <c r="G94" s="4"/>
      <c r="H94" s="24"/>
      <c r="I94" s="24"/>
      <c r="J94" s="4"/>
    </row>
    <row r="95" spans="2:10" ht="15.6" x14ac:dyDescent="0.3">
      <c r="B95" s="4"/>
      <c r="C95" s="4"/>
      <c r="D95" s="4"/>
      <c r="E95" s="4"/>
      <c r="F95" s="24"/>
      <c r="G95" s="4"/>
      <c r="H95" s="24"/>
      <c r="I95" s="24"/>
      <c r="J95" s="4"/>
    </row>
    <row r="96" spans="2:10" ht="15.6" x14ac:dyDescent="0.3">
      <c r="B96" s="4"/>
      <c r="C96" s="4"/>
      <c r="D96" s="4"/>
      <c r="E96" s="4"/>
      <c r="F96" s="24"/>
      <c r="G96" s="4"/>
      <c r="H96" s="24"/>
      <c r="I96" s="24"/>
      <c r="J96" s="4"/>
    </row>
    <row r="97" spans="2:10" ht="15.6" x14ac:dyDescent="0.3">
      <c r="B97" s="4"/>
      <c r="C97" s="4"/>
      <c r="D97" s="4"/>
      <c r="E97" s="4"/>
      <c r="F97" s="24"/>
      <c r="G97" s="4"/>
      <c r="H97" s="24"/>
      <c r="I97" s="24"/>
      <c r="J97" s="4"/>
    </row>
    <row r="98" spans="2:10" ht="15.6" x14ac:dyDescent="0.3">
      <c r="B98" s="4"/>
      <c r="C98" s="4"/>
      <c r="D98" s="4"/>
      <c r="E98" s="4"/>
      <c r="F98" s="24"/>
      <c r="G98" s="4"/>
      <c r="H98" s="24"/>
      <c r="I98" s="24"/>
      <c r="J98" s="4"/>
    </row>
  </sheetData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10" sqref="D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 SAGLAM</dc:creator>
  <cp:lastModifiedBy>RECEP SAGLAM</cp:lastModifiedBy>
  <cp:lastPrinted>2014-01-09T23:24:28Z</cp:lastPrinted>
  <dcterms:created xsi:type="dcterms:W3CDTF">2013-12-31T18:23:59Z</dcterms:created>
  <dcterms:modified xsi:type="dcterms:W3CDTF">2026-03-04T17:07:50Z</dcterms:modified>
</cp:coreProperties>
</file>